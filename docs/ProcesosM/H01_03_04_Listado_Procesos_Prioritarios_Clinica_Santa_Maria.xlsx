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cesosM\"/>
    </mc:Choice>
  </mc:AlternateContent>
  <xr:revisionPtr revIDLastSave="0" documentId="8_{2F9C83F5-FE42-4794-BC6D-094E9984B7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cesos Prioritario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  <c r="I14" i="1"/>
  <c r="J14" i="1" s="1"/>
  <c r="I15" i="1"/>
  <c r="J15" i="1" s="1"/>
  <c r="I16" i="1"/>
  <c r="J16" i="1" s="1"/>
  <c r="I17" i="1"/>
  <c r="J17" i="1" s="1"/>
  <c r="I18" i="1"/>
  <c r="I19" i="1"/>
  <c r="J19" i="1" s="1"/>
  <c r="I20" i="1"/>
  <c r="I21" i="1"/>
  <c r="I6" i="1"/>
  <c r="I7" i="1"/>
  <c r="I8" i="1"/>
  <c r="I9" i="1"/>
  <c r="J9" i="1" s="1"/>
  <c r="I10" i="1"/>
  <c r="I11" i="1"/>
  <c r="I12" i="1"/>
  <c r="I5" i="1"/>
  <c r="J5" i="1" s="1"/>
  <c r="J21" i="1"/>
  <c r="H21" i="1"/>
  <c r="J20" i="1"/>
  <c r="H20" i="1"/>
  <c r="H19" i="1"/>
  <c r="J18" i="1"/>
  <c r="H18" i="1"/>
  <c r="H17" i="1"/>
  <c r="H16" i="1"/>
  <c r="H15" i="1"/>
  <c r="H14" i="1"/>
  <c r="J13" i="1"/>
  <c r="H13" i="1"/>
  <c r="J12" i="1"/>
  <c r="H12" i="1"/>
  <c r="J11" i="1"/>
  <c r="H11" i="1"/>
  <c r="J10" i="1"/>
  <c r="H10" i="1"/>
  <c r="H9" i="1"/>
  <c r="J8" i="1"/>
  <c r="H8" i="1"/>
  <c r="J7" i="1"/>
  <c r="H7" i="1"/>
  <c r="J6" i="1"/>
  <c r="H6" i="1"/>
  <c r="H5" i="1"/>
</calcChain>
</file>

<file path=xl/sharedStrings.xml><?xml version="1.0" encoding="utf-8"?>
<sst xmlns="http://schemas.openxmlformats.org/spreadsheetml/2006/main" count="35" uniqueCount="35">
  <si>
    <t>CLÍNICA SANTA MARÍA JULIACA E.I.R.L.</t>
  </si>
  <si>
    <t>LISTADO Y PRIORIZACIÓN DE PROCESOS</t>
  </si>
  <si>
    <t>NRO.</t>
  </si>
  <si>
    <t>Proceso</t>
  </si>
  <si>
    <t>Factor 1
Impacto en el paciente</t>
  </si>
  <si>
    <t>Factor 2
Riesgo clínico</t>
  </si>
  <si>
    <t>Factor 3
Frecuencia</t>
  </si>
  <si>
    <t>Factor 4
Cumplimiento legal</t>
  </si>
  <si>
    <t>Factor 5
Oportunidad de mejora</t>
  </si>
  <si>
    <t>Puntaje</t>
  </si>
  <si>
    <t>Percentil</t>
  </si>
  <si>
    <t>Proceso prioritario</t>
  </si>
  <si>
    <t>Atención en consulta externa</t>
  </si>
  <si>
    <t>Admisión y orientación del paciente</t>
  </si>
  <si>
    <t>Triaje y evaluación inicial</t>
  </si>
  <si>
    <t>Atención en ginecología</t>
  </si>
  <si>
    <t>Exámenes auxiliares y diagnóstico</t>
  </si>
  <si>
    <t>Hospitalización del paciente</t>
  </si>
  <si>
    <t>Atención de enfermería en hospitalización</t>
  </si>
  <si>
    <t>Procedimiento quirúrgico</t>
  </si>
  <si>
    <t>Recuperación postoperatoria</t>
  </si>
  <si>
    <t>Alta médica</t>
  </si>
  <si>
    <t>Gestión de historia clínica</t>
  </si>
  <si>
    <t>Gestión de consentimiento informado</t>
  </si>
  <si>
    <t>Caja y emisión de comprobantes</t>
  </si>
  <si>
    <t>Planificación estratégica institucional</t>
  </si>
  <si>
    <t>Gestión de calidad y mejora continua</t>
  </si>
  <si>
    <t>Gestión de riesgos y seguridad del paciente</t>
  </si>
  <si>
    <t>Cumplimiento normativo en salud</t>
  </si>
  <si>
    <t>Escala de factores: 1 = muy bajo, 2 = bajo, 3 = medio, 4 = alto, 5 = muy alto. Se considera prioritario el proceso ubicado en el percentil 70 o superior.</t>
  </si>
  <si>
    <t>Resumen</t>
  </si>
  <si>
    <t>Valor</t>
  </si>
  <si>
    <t>Total de procesos evaluados</t>
  </si>
  <si>
    <t>Umbral de prioridad</t>
  </si>
  <si>
    <t>Percentil ≥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</si>
</sst>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name val="Carlito"/>
    </font>
    <font>
      <b/>
      <sz val="14"/>
      <color rgb="FFFFFFFF"/>
      <name val="Carlito"/>
    </font>
    <font>
      <b/>
      <sz val="12"/>
      <color rgb="FF1F1F1F"/>
      <name val="Carlito"/>
    </font>
    <font>
      <b/>
      <sz val="11"/>
      <color rgb="FFFFFFFF"/>
      <name val="Carlito"/>
    </font>
    <font>
      <i/>
      <sz val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  <xf numFmtId="1" fontId="0" fillId="0" borderId="0" xfId="0" applyNumberFormat="1" applyFont="1" applyFill="1" applyBorder="1" applyAlignment="1">
      <alignment vertical="top" wrapText="1"/>
    </xf>
    <xf numFmtId="164" fontId="0" fillId="0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/>
    </xf>
    <xf numFmtId="0" fontId="4" fillId="5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2">
    <dxf>
      <fill>
        <patternFill patternType="solid">
          <bgColor rgb="FFFCE4D6"/>
        </patternFill>
      </fill>
    </dxf>
    <dxf>
      <font>
        <b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sqref="A1:J29"/>
    </sheetView>
  </sheetViews>
  <sheetFormatPr baseColWidth="10" defaultColWidth="8.796875" defaultRowHeight="13.8"/>
  <cols>
    <col min="1" max="1" width="7" customWidth="1"/>
    <col min="2" max="2" width="34" customWidth="1"/>
    <col min="3" max="7" width="16" customWidth="1"/>
    <col min="8" max="8" width="11" customWidth="1"/>
    <col min="9" max="9" width="12" customWidth="1"/>
    <col min="10" max="10" width="18" customWidth="1"/>
  </cols>
  <sheetData>
    <row r="1" spans="1:10" ht="19.2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19.2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4" spans="1:10" ht="41.5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30.45" customHeight="1">
      <c r="A5" s="3">
        <v>1</v>
      </c>
      <c r="B5" s="3" t="s">
        <v>12</v>
      </c>
      <c r="C5" s="3">
        <v>5</v>
      </c>
      <c r="D5" s="3">
        <v>4</v>
      </c>
      <c r="E5" s="3">
        <v>5</v>
      </c>
      <c r="F5" s="3">
        <v>5</v>
      </c>
      <c r="G5" s="3">
        <v>4</v>
      </c>
      <c r="H5" s="4">
        <f t="shared" ref="H5:H21" si="0">SUM(C5:G5)</f>
        <v>23</v>
      </c>
      <c r="I5" s="5">
        <f>RANK(H5,$H$5:$H$21,1)/COUNTA($H$5:$H$21)*100</f>
        <v>47.058823529411761</v>
      </c>
      <c r="J5" s="3" t="str">
        <f t="shared" ref="J5:J21" si="1">IF(I5&gt;=70,"SÍ","NO")</f>
        <v>NO</v>
      </c>
    </row>
    <row r="6" spans="1:10" ht="30.45" customHeight="1">
      <c r="A6" s="3">
        <v>2</v>
      </c>
      <c r="B6" s="3" t="s">
        <v>13</v>
      </c>
      <c r="C6" s="3">
        <v>4</v>
      </c>
      <c r="D6" s="3">
        <v>3</v>
      </c>
      <c r="E6" s="3">
        <v>5</v>
      </c>
      <c r="F6" s="3">
        <v>4</v>
      </c>
      <c r="G6" s="3">
        <v>4</v>
      </c>
      <c r="H6" s="4">
        <f t="shared" si="0"/>
        <v>20</v>
      </c>
      <c r="I6" s="5">
        <f t="shared" ref="I6:I21" si="2">RANK(H6,$H$5:$H$21,1)/COUNTA($H$5:$H$21)*100</f>
        <v>17.647058823529413</v>
      </c>
      <c r="J6" s="3" t="str">
        <f t="shared" si="1"/>
        <v>NO</v>
      </c>
    </row>
    <row r="7" spans="1:10" ht="30.45" customHeight="1">
      <c r="A7" s="3">
        <v>3</v>
      </c>
      <c r="B7" s="3" t="s">
        <v>14</v>
      </c>
      <c r="C7" s="3">
        <v>5</v>
      </c>
      <c r="D7" s="3">
        <v>5</v>
      </c>
      <c r="E7" s="3">
        <v>5</v>
      </c>
      <c r="F7" s="3">
        <v>5</v>
      </c>
      <c r="G7" s="3">
        <v>4</v>
      </c>
      <c r="H7" s="4">
        <f t="shared" si="0"/>
        <v>24</v>
      </c>
      <c r="I7" s="5">
        <f t="shared" si="2"/>
        <v>82.35294117647058</v>
      </c>
      <c r="J7" s="3" t="str">
        <f t="shared" si="1"/>
        <v>SÍ</v>
      </c>
    </row>
    <row r="8" spans="1:10" ht="30.45" customHeight="1">
      <c r="A8" s="3">
        <v>4</v>
      </c>
      <c r="B8" s="3" t="s">
        <v>15</v>
      </c>
      <c r="C8" s="3">
        <v>5</v>
      </c>
      <c r="D8" s="3">
        <v>5</v>
      </c>
      <c r="E8" s="3">
        <v>4</v>
      </c>
      <c r="F8" s="3">
        <v>5</v>
      </c>
      <c r="G8" s="3">
        <v>4</v>
      </c>
      <c r="H8" s="4">
        <f t="shared" si="0"/>
        <v>23</v>
      </c>
      <c r="I8" s="5">
        <f t="shared" si="2"/>
        <v>47.058823529411761</v>
      </c>
      <c r="J8" s="3" t="str">
        <f t="shared" si="1"/>
        <v>NO</v>
      </c>
    </row>
    <row r="9" spans="1:10" ht="30.45" customHeight="1">
      <c r="A9" s="3">
        <v>5</v>
      </c>
      <c r="B9" s="3" t="s">
        <v>16</v>
      </c>
      <c r="C9" s="3">
        <v>5</v>
      </c>
      <c r="D9" s="3">
        <v>5</v>
      </c>
      <c r="E9" s="3">
        <v>4</v>
      </c>
      <c r="F9" s="3">
        <v>5</v>
      </c>
      <c r="G9" s="3">
        <v>4</v>
      </c>
      <c r="H9" s="4">
        <f t="shared" si="0"/>
        <v>23</v>
      </c>
      <c r="I9" s="5">
        <f t="shared" si="2"/>
        <v>47.058823529411761</v>
      </c>
      <c r="J9" s="3" t="str">
        <f t="shared" si="1"/>
        <v>NO</v>
      </c>
    </row>
    <row r="10" spans="1:10" ht="30.45" customHeight="1">
      <c r="A10" s="3">
        <v>6</v>
      </c>
      <c r="B10" s="3" t="s">
        <v>17</v>
      </c>
      <c r="C10" s="3">
        <v>5</v>
      </c>
      <c r="D10" s="3">
        <v>5</v>
      </c>
      <c r="E10" s="3">
        <v>4</v>
      </c>
      <c r="F10" s="3">
        <v>5</v>
      </c>
      <c r="G10" s="3">
        <v>5</v>
      </c>
      <c r="H10" s="4">
        <f t="shared" si="0"/>
        <v>24</v>
      </c>
      <c r="I10" s="5">
        <f t="shared" si="2"/>
        <v>82.35294117647058</v>
      </c>
      <c r="J10" s="3" t="str">
        <f t="shared" si="1"/>
        <v>SÍ</v>
      </c>
    </row>
    <row r="11" spans="1:10" ht="30.45" customHeight="1">
      <c r="A11" s="3">
        <v>7</v>
      </c>
      <c r="B11" s="3" t="s">
        <v>18</v>
      </c>
      <c r="C11" s="3">
        <v>5</v>
      </c>
      <c r="D11" s="3">
        <v>5</v>
      </c>
      <c r="E11" s="3">
        <v>5</v>
      </c>
      <c r="F11" s="3">
        <v>5</v>
      </c>
      <c r="G11" s="3">
        <v>5</v>
      </c>
      <c r="H11" s="4">
        <f t="shared" si="0"/>
        <v>25</v>
      </c>
      <c r="I11" s="5">
        <f t="shared" si="2"/>
        <v>100</v>
      </c>
      <c r="J11" s="3" t="str">
        <f t="shared" si="1"/>
        <v>SÍ</v>
      </c>
    </row>
    <row r="12" spans="1:10" ht="30.45" customHeight="1">
      <c r="A12" s="3">
        <v>8</v>
      </c>
      <c r="B12" s="3" t="s">
        <v>19</v>
      </c>
      <c r="C12" s="3">
        <v>5</v>
      </c>
      <c r="D12" s="3">
        <v>5</v>
      </c>
      <c r="E12" s="3">
        <v>3</v>
      </c>
      <c r="F12" s="3">
        <v>5</v>
      </c>
      <c r="G12" s="3">
        <v>5</v>
      </c>
      <c r="H12" s="4">
        <f t="shared" si="0"/>
        <v>23</v>
      </c>
      <c r="I12" s="5">
        <f t="shared" si="2"/>
        <v>47.058823529411761</v>
      </c>
      <c r="J12" s="3" t="str">
        <f t="shared" si="1"/>
        <v>NO</v>
      </c>
    </row>
    <row r="13" spans="1:10" ht="30.45" customHeight="1">
      <c r="A13" s="3">
        <v>9</v>
      </c>
      <c r="B13" s="3" t="s">
        <v>20</v>
      </c>
      <c r="C13" s="3">
        <v>5</v>
      </c>
      <c r="D13" s="3">
        <v>5</v>
      </c>
      <c r="E13" s="3">
        <v>3</v>
      </c>
      <c r="F13" s="3">
        <v>5</v>
      </c>
      <c r="G13" s="3">
        <v>5</v>
      </c>
      <c r="H13" s="4">
        <f t="shared" si="0"/>
        <v>23</v>
      </c>
      <c r="I13" s="5">
        <f t="shared" si="2"/>
        <v>47.058823529411761</v>
      </c>
      <c r="J13" s="3" t="str">
        <f t="shared" si="1"/>
        <v>NO</v>
      </c>
    </row>
    <row r="14" spans="1:10" ht="30.45" customHeight="1">
      <c r="A14" s="3">
        <v>10</v>
      </c>
      <c r="B14" s="3" t="s">
        <v>21</v>
      </c>
      <c r="C14" s="3">
        <v>5</v>
      </c>
      <c r="D14" s="3">
        <v>4</v>
      </c>
      <c r="E14" s="3">
        <v>4</v>
      </c>
      <c r="F14" s="3">
        <v>5</v>
      </c>
      <c r="G14" s="3">
        <v>4</v>
      </c>
      <c r="H14" s="4">
        <f t="shared" si="0"/>
        <v>22</v>
      </c>
      <c r="I14" s="5">
        <f t="shared" si="2"/>
        <v>29.411764705882355</v>
      </c>
      <c r="J14" s="3" t="str">
        <f t="shared" si="1"/>
        <v>NO</v>
      </c>
    </row>
    <row r="15" spans="1:10" ht="30.45" customHeight="1">
      <c r="A15" s="3">
        <v>11</v>
      </c>
      <c r="B15" s="3" t="s">
        <v>22</v>
      </c>
      <c r="C15" s="3">
        <v>4</v>
      </c>
      <c r="D15" s="3">
        <v>4</v>
      </c>
      <c r="E15" s="3">
        <v>5</v>
      </c>
      <c r="F15" s="3">
        <v>5</v>
      </c>
      <c r="G15" s="3">
        <v>4</v>
      </c>
      <c r="H15" s="4">
        <f t="shared" si="0"/>
        <v>22</v>
      </c>
      <c r="I15" s="5">
        <f t="shared" si="2"/>
        <v>29.411764705882355</v>
      </c>
      <c r="J15" s="3" t="str">
        <f t="shared" si="1"/>
        <v>NO</v>
      </c>
    </row>
    <row r="16" spans="1:10" ht="30.45" customHeight="1">
      <c r="A16" s="3">
        <v>12</v>
      </c>
      <c r="B16" s="3" t="s">
        <v>23</v>
      </c>
      <c r="C16" s="3">
        <v>4</v>
      </c>
      <c r="D16" s="3">
        <v>5</v>
      </c>
      <c r="E16" s="3">
        <v>4</v>
      </c>
      <c r="F16" s="3">
        <v>5</v>
      </c>
      <c r="G16" s="3">
        <v>4</v>
      </c>
      <c r="H16" s="4">
        <f t="shared" si="0"/>
        <v>22</v>
      </c>
      <c r="I16" s="5">
        <f t="shared" si="2"/>
        <v>29.411764705882355</v>
      </c>
      <c r="J16" s="3" t="str">
        <f t="shared" si="1"/>
        <v>NO</v>
      </c>
    </row>
    <row r="17" spans="1:10" ht="30.45" customHeight="1">
      <c r="A17" s="3">
        <v>13</v>
      </c>
      <c r="B17" s="3" t="s">
        <v>24</v>
      </c>
      <c r="C17" s="3">
        <v>3</v>
      </c>
      <c r="D17" s="3">
        <v>2</v>
      </c>
      <c r="E17" s="3">
        <v>5</v>
      </c>
      <c r="F17" s="3">
        <v>4</v>
      </c>
      <c r="G17" s="3">
        <v>3</v>
      </c>
      <c r="H17" s="4">
        <f t="shared" si="0"/>
        <v>17</v>
      </c>
      <c r="I17" s="5">
        <f t="shared" si="2"/>
        <v>5.8823529411764701</v>
      </c>
      <c r="J17" s="3" t="str">
        <f t="shared" si="1"/>
        <v>NO</v>
      </c>
    </row>
    <row r="18" spans="1:10" ht="30.45" customHeight="1">
      <c r="A18" s="3">
        <v>14</v>
      </c>
      <c r="B18" s="3" t="s">
        <v>25</v>
      </c>
      <c r="C18" s="3">
        <v>4</v>
      </c>
      <c r="D18" s="3">
        <v>3</v>
      </c>
      <c r="E18" s="3">
        <v>3</v>
      </c>
      <c r="F18" s="3">
        <v>4</v>
      </c>
      <c r="G18" s="3">
        <v>5</v>
      </c>
      <c r="H18" s="4">
        <f t="shared" si="0"/>
        <v>19</v>
      </c>
      <c r="I18" s="5">
        <f t="shared" si="2"/>
        <v>11.76470588235294</v>
      </c>
      <c r="J18" s="3" t="str">
        <f t="shared" si="1"/>
        <v>NO</v>
      </c>
    </row>
    <row r="19" spans="1:10" ht="30.45" customHeight="1">
      <c r="A19" s="3">
        <v>15</v>
      </c>
      <c r="B19" s="3" t="s">
        <v>26</v>
      </c>
      <c r="C19" s="3">
        <v>5</v>
      </c>
      <c r="D19" s="3">
        <v>4</v>
      </c>
      <c r="E19" s="3">
        <v>4</v>
      </c>
      <c r="F19" s="3">
        <v>5</v>
      </c>
      <c r="G19" s="3">
        <v>5</v>
      </c>
      <c r="H19" s="4">
        <f t="shared" si="0"/>
        <v>23</v>
      </c>
      <c r="I19" s="5">
        <f t="shared" si="2"/>
        <v>47.058823529411761</v>
      </c>
      <c r="J19" s="3" t="str">
        <f t="shared" si="1"/>
        <v>NO</v>
      </c>
    </row>
    <row r="20" spans="1:10" ht="30.45" customHeight="1">
      <c r="A20" s="3">
        <v>16</v>
      </c>
      <c r="B20" s="3" t="s">
        <v>27</v>
      </c>
      <c r="C20" s="3">
        <v>5</v>
      </c>
      <c r="D20" s="3">
        <v>5</v>
      </c>
      <c r="E20" s="3">
        <v>4</v>
      </c>
      <c r="F20" s="3">
        <v>5</v>
      </c>
      <c r="G20" s="3">
        <v>5</v>
      </c>
      <c r="H20" s="4">
        <f t="shared" si="0"/>
        <v>24</v>
      </c>
      <c r="I20" s="5">
        <f t="shared" si="2"/>
        <v>82.35294117647058</v>
      </c>
      <c r="J20" s="3" t="str">
        <f t="shared" si="1"/>
        <v>SÍ</v>
      </c>
    </row>
    <row r="21" spans="1:10" ht="30.45" customHeight="1">
      <c r="A21" s="3">
        <v>17</v>
      </c>
      <c r="B21" s="3" t="s">
        <v>28</v>
      </c>
      <c r="C21" s="3">
        <v>4</v>
      </c>
      <c r="D21" s="3">
        <v>4</v>
      </c>
      <c r="E21" s="3">
        <v>3</v>
      </c>
      <c r="F21" s="3">
        <v>5</v>
      </c>
      <c r="G21" s="3">
        <v>4</v>
      </c>
      <c r="H21" s="4">
        <f t="shared" si="0"/>
        <v>20</v>
      </c>
      <c r="I21" s="5">
        <f t="shared" si="2"/>
        <v>17.647058823529413</v>
      </c>
      <c r="J21" s="3" t="str">
        <f t="shared" si="1"/>
        <v>NO</v>
      </c>
    </row>
    <row r="24" spans="1:10">
      <c r="A24" s="8" t="s">
        <v>29</v>
      </c>
      <c r="B24" s="8"/>
      <c r="C24" s="8"/>
      <c r="D24" s="8"/>
      <c r="E24" s="8"/>
      <c r="F24" s="8"/>
      <c r="G24" s="8"/>
      <c r="H24" s="8"/>
      <c r="I24" s="8"/>
      <c r="J24" s="8"/>
    </row>
    <row r="26" spans="1:10" ht="27.6">
      <c r="A26" s="1" t="s">
        <v>30</v>
      </c>
      <c r="B26" s="1" t="s">
        <v>31</v>
      </c>
    </row>
    <row r="27" spans="1:10" ht="82.8">
      <c r="A27" s="2" t="s">
        <v>32</v>
      </c>
      <c r="B27" s="2">
        <v>17</v>
      </c>
    </row>
    <row r="28" spans="1:10" ht="55.2">
      <c r="A28" s="2" t="s">
        <v>33</v>
      </c>
      <c r="B28" s="2" t="s">
        <v>34</v>
      </c>
    </row>
  </sheetData>
  <mergeCells count="3">
    <mergeCell ref="A1:J1"/>
    <mergeCell ref="A2:J2"/>
    <mergeCell ref="A24:J24"/>
  </mergeCells>
  <conditionalFormatting sqref="I5:I2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J5:J21">
    <cfRule type="expression" dxfId="1" priority="2">
      <formula>J5="SÍ"</formula>
    </cfRule>
    <cfRule type="expression" dxfId="0" priority="3">
      <formula>J5="NO"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Procesos Prioritarios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TUF GAMING</cp:lastModifiedBy>
  <dcterms:created xsi:type="dcterms:W3CDTF">2026-09-08T05:04:26Z</dcterms:created>
  <dcterms:modified xsi:type="dcterms:W3CDTF">2026-09-08T05:04:26Z</dcterms:modified>
</cp:coreProperties>
</file>